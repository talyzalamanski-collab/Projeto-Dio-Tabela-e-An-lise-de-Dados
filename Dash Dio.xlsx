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8D367E-FDCB-4C43-9DDC-7AEA989626C6}" xr6:coauthVersionLast="47" xr6:coauthVersionMax="47" xr10:uidLastSave="{00000000-0000-0000-0000-000000000000}"/>
  <bookViews>
    <workbookView xWindow="-120" yWindow="-12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3" l="1"/>
  <c r="F21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<sst xmlns="http://schemas.openxmlformats.org/spreadsheetml/2006/main" count="2017" uniqueCount="319">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</sst>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B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Border="1"/>
    <xf numFmtId="0" fontId="4" fillId="0" borderId="2" xfId="1" applyFont="1" applyBorder="1"/>
    <xf numFmtId="0" fontId="0" fillId="0" borderId="0" xfId="0" applyNumberFormat="1"/>
    <xf numFmtId="44" fontId="0" fillId="0" borderId="0" xfId="2" applyFont="1"/>
    <xf numFmtId="0" fontId="4" fillId="0" borderId="2" xfId="1" applyFont="1" applyBorder="1" applyAlignment="1">
      <alignment horizontal="left" indent="9"/>
    </xf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2266BC65-DC1A-4FC8-BE86-03B367232068}">
      <tableStyleElement type="wholeTable" dxfId="1"/>
      <tableStyleElement type="headerRow" dxfId="0"/>
    </tableStyle>
    <tableStyle name="SlicerStyleLight6 3" pivot="0" table="0" count="10" xr9:uid="{CFB7AAC6-B4AA-4DB7-8E45-76A30865FA77}">
      <tableStyleElement type="wholeTable" dxfId="3"/>
      <tableStyleElement type="headerRow" dxfId="2"/>
    </tableStyle>
  </tableStyles>
  <colors>
    <mruColors>
      <color rgb="FFE8E6E9"/>
      <color rgb="FF22C55E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Dio.xlsx]C̳álculos!tbl_aesannual_total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9581097196998831E-2"/>
          <c:y val="5.06620702110291E-2"/>
          <c:w val="0.94040823787688543"/>
          <c:h val="0.898675859577941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B2-4B2F-80C3-B3F8E0BAB86B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B2-4B2F-80C3-B3F8E0BAB8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B2-4B2F-80C3-B3F8E0BAB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3090800"/>
        <c:axId val="1257788160"/>
      </c:barChart>
      <c:catAx>
        <c:axId val="131309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7788160"/>
        <c:crosses val="autoZero"/>
        <c:auto val="1"/>
        <c:lblAlgn val="ctr"/>
        <c:lblOffset val="100"/>
        <c:noMultiLvlLbl val="0"/>
      </c:catAx>
      <c:valAx>
        <c:axId val="12577881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1309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83343</xdr:colOff>
      <xdr:row>0</xdr:row>
      <xdr:rowOff>0</xdr:rowOff>
    </xdr:from>
    <xdr:to>
      <xdr:col>2</xdr:col>
      <xdr:colOff>500062</xdr:colOff>
      <xdr:row>3</xdr:row>
      <xdr:rowOff>71437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ABF2A5-5DC2-4083-9FD4-B864DDEDA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99" t="-2174" r="73822" b="-7610"/>
        <a:stretch>
          <a:fillRect/>
        </a:stretch>
      </xdr:blipFill>
      <xdr:spPr>
        <a:xfrm>
          <a:off x="1952624" y="0"/>
          <a:ext cx="654844" cy="12620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23812</xdr:rowOff>
    </xdr:from>
    <xdr:to>
      <xdr:col>0</xdr:col>
      <xdr:colOff>1855470</xdr:colOff>
      <xdr:row>18</xdr:row>
      <xdr:rowOff>132952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FA7A3C73-94EE-4E99-A080-33EA3E755F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16843"/>
              <a:ext cx="1855470" cy="2680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273845</xdr:colOff>
      <xdr:row>3</xdr:row>
      <xdr:rowOff>83344</xdr:rowOff>
    </xdr:from>
    <xdr:to>
      <xdr:col>11</xdr:col>
      <xdr:colOff>202407</xdr:colOff>
      <xdr:row>12</xdr:row>
      <xdr:rowOff>63848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E25CA3BC-CB67-18FE-8065-C730A518AFF2}"/>
            </a:ext>
          </a:extLst>
        </xdr:cNvPr>
        <xdr:cNvGrpSpPr/>
      </xdr:nvGrpSpPr>
      <xdr:grpSpPr>
        <a:xfrm>
          <a:off x="2381251" y="1273969"/>
          <a:ext cx="5393531" cy="1611660"/>
          <a:chOff x="2405063" y="1262063"/>
          <a:chExt cx="5310371" cy="1516856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00B89951-45B7-9762-6934-2E293C853787}"/>
              </a:ext>
            </a:extLst>
          </xdr:cNvPr>
          <xdr:cNvSpPr/>
        </xdr:nvSpPr>
        <xdr:spPr>
          <a:xfrm>
            <a:off x="2405063" y="1440656"/>
            <a:ext cx="5310187" cy="1154906"/>
          </a:xfrm>
          <a:prstGeom prst="roundRect">
            <a:avLst>
              <a:gd name="adj" fmla="val 3213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050"/>
          </a:p>
        </xdr:txBody>
      </xdr:sp>
      <xdr:sp macro="" textlink="C̳álculos!F21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EEC4A00-B2FD-47DC-B8A2-220C5467EEA6}"/>
              </a:ext>
            </a:extLst>
          </xdr:cNvPr>
          <xdr:cNvSpPr/>
        </xdr:nvSpPr>
        <xdr:spPr>
          <a:xfrm>
            <a:off x="3700461" y="1674020"/>
            <a:ext cx="2991523" cy="895349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88065C4-6EB9-4B95-9C8D-7D2F125E408B}" type="TxLink">
              <a:rPr lang="en-US" sz="40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R$ 600,00 </a:t>
            </a:fld>
            <a:endParaRPr lang="pt-BR" sz="4000">
              <a:solidFill>
                <a:srgbClr val="2AE6B1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C9BDBDEA-102B-49B6-9244-BAA97FBC59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01" y="1559719"/>
            <a:ext cx="1200360" cy="121920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8D390A47-BA39-90B1-B4D8-0FAE0EB5805B}"/>
              </a:ext>
            </a:extLst>
          </xdr:cNvPr>
          <xdr:cNvSpPr/>
        </xdr:nvSpPr>
        <xdr:spPr>
          <a:xfrm>
            <a:off x="2416969" y="1262063"/>
            <a:ext cx="5298465" cy="488156"/>
          </a:xfrm>
          <a:prstGeom prst="round2SameRect">
            <a:avLst>
              <a:gd name="adj1" fmla="val 45935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 Subscriptions</a:t>
            </a:r>
            <a:r>
              <a:rPr lang="pt-BR" sz="1400" baseline="0"/>
              <a:t> EA Play Seasen Pass</a:t>
            </a:r>
            <a:endParaRPr lang="pt-BR" sz="1400"/>
          </a:p>
        </xdr:txBody>
      </xdr:sp>
    </xdr:grpSp>
    <xdr:clientData/>
  </xdr:twoCellAnchor>
  <xdr:twoCellAnchor>
    <xdr:from>
      <xdr:col>13</xdr:col>
      <xdr:colOff>202407</xdr:colOff>
      <xdr:row>4</xdr:row>
      <xdr:rowOff>11907</xdr:rowOff>
    </xdr:from>
    <xdr:to>
      <xdr:col>22</xdr:col>
      <xdr:colOff>130969</xdr:colOff>
      <xdr:row>11</xdr:row>
      <xdr:rowOff>95250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A066C65-7BF3-1780-4C17-7C5EA0A5F2F1}"/>
            </a:ext>
          </a:extLst>
        </xdr:cNvPr>
        <xdr:cNvGrpSpPr/>
      </xdr:nvGrpSpPr>
      <xdr:grpSpPr>
        <a:xfrm>
          <a:off x="8822532" y="1309688"/>
          <a:ext cx="5393531" cy="1416843"/>
          <a:chOff x="8584406" y="1309688"/>
          <a:chExt cx="5310371" cy="1333499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7E2A5C69-5BEE-4CAB-9E3C-1F702B934E44}"/>
              </a:ext>
            </a:extLst>
          </xdr:cNvPr>
          <xdr:cNvGrpSpPr/>
        </xdr:nvGrpSpPr>
        <xdr:grpSpPr>
          <a:xfrm>
            <a:off x="8584406" y="1309688"/>
            <a:ext cx="5310371" cy="1333499"/>
            <a:chOff x="2405063" y="1262063"/>
            <a:chExt cx="5310371" cy="1333499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7080DE94-C209-D1B9-F7F0-FCB36818ECDB}"/>
                </a:ext>
              </a:extLst>
            </xdr:cNvPr>
            <xdr:cNvSpPr/>
          </xdr:nvSpPr>
          <xdr:spPr>
            <a:xfrm>
              <a:off x="2405063" y="1440656"/>
              <a:ext cx="5310187" cy="1154906"/>
            </a:xfrm>
            <a:prstGeom prst="roundRect">
              <a:avLst>
                <a:gd name="adj" fmla="val 32131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50"/>
            </a:p>
          </xdr:txBody>
        </xdr:sp>
        <xdr:sp macro="" textlink="C̳álculos!E32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1B03400B-8C34-449E-491F-45645B334F20}"/>
                </a:ext>
              </a:extLst>
            </xdr:cNvPr>
            <xdr:cNvSpPr/>
          </xdr:nvSpPr>
          <xdr:spPr>
            <a:xfrm>
              <a:off x="3843336" y="1626397"/>
              <a:ext cx="2991523" cy="895349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40CECE03-035F-4C07-906D-BE2B4AE0D337}" type="TxLink">
                <a:rPr lang="en-US" sz="4000" b="0" i="0" u="none" strike="noStrike">
                  <a:solidFill>
                    <a:srgbClr val="2AE6B1"/>
                  </a:solidFill>
                  <a:latin typeface="Aptos Narrow"/>
                </a:rPr>
                <a:t> R$ 940,00 </a:t>
              </a:fld>
              <a:endParaRPr lang="pt-BR" sz="40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457E174E-ADBF-000A-6FAE-1E41F9879835}"/>
                </a:ext>
              </a:extLst>
            </xdr:cNvPr>
            <xdr:cNvSpPr/>
          </xdr:nvSpPr>
          <xdr:spPr>
            <a:xfrm>
              <a:off x="2416969" y="1262063"/>
              <a:ext cx="5298465" cy="488156"/>
            </a:xfrm>
            <a:prstGeom prst="round2SameRect">
              <a:avLst>
                <a:gd name="adj1" fmla="val 45935"/>
                <a:gd name="adj2" fmla="val 0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/>
                <a:t>Total Subscriptions</a:t>
              </a:r>
              <a:r>
                <a:rPr lang="pt-BR" sz="1400" baseline="0"/>
                <a:t> Minecraft Seasen Pass</a:t>
              </a:r>
              <a:endParaRPr lang="pt-BR" sz="1400"/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9B5159E9-B2BD-4779-8E23-39F820131D15}"/>
              </a:ext>
            </a:extLst>
          </xdr:cNvPr>
          <xdr:cNvGrpSpPr/>
        </xdr:nvGrpSpPr>
        <xdr:grpSpPr>
          <a:xfrm>
            <a:off x="8774906" y="1845469"/>
            <a:ext cx="1178719" cy="571500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10CC1B54-9C4A-854B-5D3E-2B32C540AD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04E9E2F5-DC9F-A7EB-259F-50CD9038E5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178593</xdr:colOff>
      <xdr:row>13</xdr:row>
      <xdr:rowOff>0</xdr:rowOff>
    </xdr:from>
    <xdr:to>
      <xdr:col>22</xdr:col>
      <xdr:colOff>357187</xdr:colOff>
      <xdr:row>31</xdr:row>
      <xdr:rowOff>35719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63B8F7AE-342F-7942-1D91-AA1BC772D396}"/>
            </a:ext>
          </a:extLst>
        </xdr:cNvPr>
        <xdr:cNvGrpSpPr/>
      </xdr:nvGrpSpPr>
      <xdr:grpSpPr>
        <a:xfrm>
          <a:off x="2285999" y="3012281"/>
          <a:ext cx="12156282" cy="3464719"/>
          <a:chOff x="2285999" y="3012281"/>
          <a:chExt cx="11953876" cy="3464719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26F88A2A-B1BD-0E9F-68AE-17BD0D558410}"/>
              </a:ext>
            </a:extLst>
          </xdr:cNvPr>
          <xdr:cNvGrpSpPr/>
        </xdr:nvGrpSpPr>
        <xdr:grpSpPr>
          <a:xfrm>
            <a:off x="2285999" y="3452812"/>
            <a:ext cx="11953876" cy="3024188"/>
            <a:chOff x="2774156" y="1488281"/>
            <a:chExt cx="5560219" cy="302418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2D646F9C-7C39-BB01-DD0B-0755AE2106B1}"/>
                </a:ext>
              </a:extLst>
            </xdr:cNvPr>
            <xdr:cNvSpPr/>
          </xdr:nvSpPr>
          <xdr:spPr>
            <a:xfrm>
              <a:off x="2774156" y="1488281"/>
              <a:ext cx="5464969" cy="3024188"/>
            </a:xfrm>
            <a:prstGeom prst="roundRect">
              <a:avLst>
                <a:gd name="adj" fmla="val 603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E319657-128E-4E1B-AEAB-C8FD328DF945}"/>
                </a:ext>
              </a:extLst>
            </xdr:cNvPr>
            <xdr:cNvGraphicFramePr>
              <a:graphicFrameLocks/>
            </xdr:cNvGraphicFramePr>
          </xdr:nvGraphicFramePr>
          <xdr:xfrm>
            <a:off x="2914650" y="1606945"/>
            <a:ext cx="5419725" cy="27574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BA6199CE-05FA-4C62-A725-22BC7DB6EB0E}"/>
              </a:ext>
            </a:extLst>
          </xdr:cNvPr>
          <xdr:cNvSpPr/>
        </xdr:nvSpPr>
        <xdr:spPr>
          <a:xfrm>
            <a:off x="2286000" y="3012281"/>
            <a:ext cx="11739561" cy="583405"/>
          </a:xfrm>
          <a:prstGeom prst="round2SameRect">
            <a:avLst>
              <a:gd name="adj1" fmla="val 45935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 Subscriptions</a:t>
            </a:r>
            <a:r>
              <a:rPr lang="pt-BR" sz="1400" baseline="0"/>
              <a:t> XBOX Game Pass</a:t>
            </a:r>
            <a:endParaRPr lang="pt-BR" sz="1400"/>
          </a:p>
        </xdr:txBody>
      </xdr:sp>
    </xdr:grpSp>
    <xdr:clientData/>
  </xdr:twoCellAnchor>
  <xdr:twoCellAnchor>
    <xdr:from>
      <xdr:col>0</xdr:col>
      <xdr:colOff>583405</xdr:colOff>
      <xdr:row>1</xdr:row>
      <xdr:rowOff>23812</xdr:rowOff>
    </xdr:from>
    <xdr:to>
      <xdr:col>0</xdr:col>
      <xdr:colOff>1278730</xdr:colOff>
      <xdr:row>2</xdr:row>
      <xdr:rowOff>219074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C57C87D6-2CE9-4CF5-BECC-8D4CA2CA1C29}"/>
            </a:ext>
          </a:extLst>
        </xdr:cNvPr>
        <xdr:cNvSpPr/>
      </xdr:nvSpPr>
      <xdr:spPr>
        <a:xfrm>
          <a:off x="583405" y="21431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333375</xdr:colOff>
      <xdr:row>2</xdr:row>
      <xdr:rowOff>261936</xdr:rowOff>
    </xdr:from>
    <xdr:to>
      <xdr:col>12</xdr:col>
      <xdr:colOff>500063</xdr:colOff>
      <xdr:row>2</xdr:row>
      <xdr:rowOff>488155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FC44FB73-E78E-FEED-DC48-A32295BC233B}"/>
            </a:ext>
          </a:extLst>
        </xdr:cNvPr>
        <xdr:cNvSpPr/>
      </xdr:nvSpPr>
      <xdr:spPr>
        <a:xfrm>
          <a:off x="2440781" y="952499"/>
          <a:ext cx="6072188" cy="22621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75000"/>
                </a:schemeClr>
              </a:solidFill>
            </a:rPr>
            <a:t>Calculation</a:t>
          </a:r>
          <a:r>
            <a:rPr lang="pt-BR" sz="1100" baseline="0">
              <a:solidFill>
                <a:schemeClr val="bg1">
                  <a:lumMod val="75000"/>
                </a:schemeClr>
              </a:solidFill>
            </a:rPr>
            <a:t> period: 01/01/2026 - 31/12/2026 | Update date: 08/10/2026 às 19:20:15</a:t>
          </a:r>
          <a:endParaRPr lang="pt-BR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366712</xdr:colOff>
      <xdr:row>2</xdr:row>
      <xdr:rowOff>211930</xdr:rowOff>
    </xdr:from>
    <xdr:to>
      <xdr:col>1</xdr:col>
      <xdr:colOff>69056</xdr:colOff>
      <xdr:row>2</xdr:row>
      <xdr:rowOff>438148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34898D5F-F59F-4F08-A6C9-E8CA4C080B31}"/>
            </a:ext>
          </a:extLst>
        </xdr:cNvPr>
        <xdr:cNvSpPr/>
      </xdr:nvSpPr>
      <xdr:spPr>
        <a:xfrm>
          <a:off x="366712" y="902493"/>
          <a:ext cx="1571625" cy="22621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 vinda Talytha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3.711484259256" createdVersion="8" refreshedVersion="8" minRefreshableVersion="3" recordCount="295" xr:uid="{C92CCD48-9EBB-4676-A460-BCBD3C9327D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130689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CFE50-CAC8-4636-AA2E-DE6EBE2D936E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48924-A38C-47B4-982D-D8C69895BC5F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F458F-1566-4861-9978-C5CDAB51E5B9}" name="tbl_aes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5E421A6-500E-4F53-A12C-8E20951FCC7E}" sourceName="Subscription Type">
  <pivotTables>
    <pivotTable tabId="3" name="tbl_aesannual_total"/>
    <pivotTable tabId="3" name="Tabela dinâmica3"/>
    <pivotTable tabId="3" name="Tabela dinâmica4"/>
  </pivotTables>
  <data>
    <tabular pivotCacheId="131306891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4327F42-79A6-4EF3-B4E5-E1F40A94B19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F32" sqref="F3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217" zoomScale="90" zoomScaleNormal="90" workbookViewId="0">
      <selection activeCell="F32" sqref="F3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F32"/>
  <sheetViews>
    <sheetView showGridLines="0" topLeftCell="A14" workbookViewId="0">
      <selection activeCell="F32" sqref="F32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12" t="s">
        <v>16</v>
      </c>
      <c r="C6" t="s">
        <v>24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23</v>
      </c>
      <c r="C9" s="14">
        <v>217</v>
      </c>
    </row>
    <row r="10" spans="2:3" x14ac:dyDescent="0.25">
      <c r="B10" s="13" t="s">
        <v>19</v>
      </c>
      <c r="C10" s="14">
        <v>1537</v>
      </c>
    </row>
    <row r="11" spans="2:3" x14ac:dyDescent="0.25">
      <c r="B11" s="13" t="s">
        <v>314</v>
      </c>
      <c r="C11" s="14">
        <v>1754</v>
      </c>
    </row>
    <row r="16" spans="2:3" x14ac:dyDescent="0.25">
      <c r="B16" s="12" t="s">
        <v>16</v>
      </c>
      <c r="C16" t="s">
        <v>24</v>
      </c>
    </row>
    <row r="18" spans="2:6" x14ac:dyDescent="0.25">
      <c r="B18" s="12" t="s">
        <v>313</v>
      </c>
      <c r="C18" t="s">
        <v>317</v>
      </c>
    </row>
    <row r="19" spans="2:6" x14ac:dyDescent="0.25">
      <c r="B19" s="13" t="s">
        <v>22</v>
      </c>
      <c r="C19" s="17">
        <v>0</v>
      </c>
    </row>
    <row r="20" spans="2:6" x14ac:dyDescent="0.25">
      <c r="B20" s="13" t="s">
        <v>26</v>
      </c>
      <c r="C20" s="17">
        <v>0</v>
      </c>
    </row>
    <row r="21" spans="2:6" x14ac:dyDescent="0.25">
      <c r="B21" s="13" t="s">
        <v>18</v>
      </c>
      <c r="C21" s="17">
        <v>600</v>
      </c>
      <c r="F21" s="18">
        <f>GETPIVOTDATA("EA Play Season Pass
Price",$B$18)</f>
        <v>600</v>
      </c>
    </row>
    <row r="22" spans="2:6" x14ac:dyDescent="0.25">
      <c r="B22" s="13" t="s">
        <v>314</v>
      </c>
      <c r="C22" s="17">
        <v>600</v>
      </c>
    </row>
    <row r="26" spans="2:6" x14ac:dyDescent="0.25">
      <c r="B26" s="12" t="s">
        <v>16</v>
      </c>
      <c r="C26" t="s">
        <v>24</v>
      </c>
    </row>
    <row r="28" spans="2:6" x14ac:dyDescent="0.25">
      <c r="B28" s="12" t="s">
        <v>313</v>
      </c>
      <c r="C28" t="s">
        <v>318</v>
      </c>
    </row>
    <row r="29" spans="2:6" x14ac:dyDescent="0.25">
      <c r="B29" s="13" t="s">
        <v>22</v>
      </c>
      <c r="C29" s="14">
        <v>0</v>
      </c>
    </row>
    <row r="30" spans="2:6" x14ac:dyDescent="0.25">
      <c r="B30" s="13" t="s">
        <v>26</v>
      </c>
      <c r="C30" s="14">
        <v>540</v>
      </c>
    </row>
    <row r="31" spans="2:6" x14ac:dyDescent="0.25">
      <c r="B31" s="13" t="s">
        <v>18</v>
      </c>
      <c r="C31" s="14">
        <v>400</v>
      </c>
    </row>
    <row r="32" spans="2:6" x14ac:dyDescent="0.25">
      <c r="B32" s="13" t="s">
        <v>314</v>
      </c>
      <c r="C32" s="14">
        <v>940</v>
      </c>
      <c r="E32" s="18">
        <f>GETPIVOTDATA("Minecraft Season Pass Price",$B$28)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240"/>
  <sheetViews>
    <sheetView showGridLines="0" showRowColHeaders="0" tabSelected="1" zoomScale="80" zoomScaleNormal="80" workbookViewId="0">
      <selection activeCell="Y13" sqref="Y13"/>
    </sheetView>
  </sheetViews>
  <sheetFormatPr defaultRowHeight="15" x14ac:dyDescent="0.25"/>
  <cols>
    <col min="1" max="1" width="28" style="4" customWidth="1"/>
    <col min="2" max="2" width="3.5703125" customWidth="1"/>
    <col min="12" max="12" width="6.5703125" customWidth="1"/>
  </cols>
  <sheetData>
    <row r="2" spans="1:16" ht="39" customHeight="1" thickBot="1" x14ac:dyDescent="0.5">
      <c r="C2" s="19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5"/>
    </row>
    <row r="3" spans="1:16" ht="39" customHeight="1" thickTop="1" x14ac:dyDescent="0.25"/>
    <row r="4" spans="1:16" s="7" customFormat="1" ht="8.25" customHeight="1" x14ac:dyDescent="0.25">
      <c r="A4" s="4"/>
    </row>
    <row r="5" spans="1:16" s="7" customFormat="1" ht="7.5" customHeight="1" x14ac:dyDescent="0.25">
      <c r="A5" s="4"/>
    </row>
    <row r="6" spans="1:16" s="7" customFormat="1" ht="10.5" customHeight="1" x14ac:dyDescent="0.25">
      <c r="A6" s="4"/>
    </row>
    <row r="7" spans="1:16" s="7" customFormat="1" ht="9.75" customHeight="1" x14ac:dyDescent="0.25">
      <c r="A7" s="4"/>
    </row>
    <row r="8" spans="1:16" s="7" customFormat="1" ht="33" customHeight="1" x14ac:dyDescent="0.25">
      <c r="A8" s="4"/>
    </row>
    <row r="9" spans="1:16" s="7" customFormat="1" x14ac:dyDescent="0.25">
      <c r="A9" s="4"/>
    </row>
    <row r="10" spans="1:16" s="7" customFormat="1" x14ac:dyDescent="0.25">
      <c r="A10" s="4"/>
    </row>
    <row r="11" spans="1:16" s="7" customFormat="1" x14ac:dyDescent="0.25">
      <c r="A11" s="4"/>
    </row>
    <row r="12" spans="1:16" s="7" customFormat="1" x14ac:dyDescent="0.25">
      <c r="A12" s="4"/>
    </row>
    <row r="13" spans="1:16" s="7" customFormat="1" x14ac:dyDescent="0.25">
      <c r="A13" s="4"/>
    </row>
    <row r="14" spans="1:16" s="7" customFormat="1" x14ac:dyDescent="0.25">
      <c r="A14" s="4"/>
    </row>
    <row r="15" spans="1:16" s="7" customFormat="1" x14ac:dyDescent="0.25">
      <c r="A15" s="4"/>
    </row>
    <row r="16" spans="1:16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Talytha Zalamanski</cp:lastModifiedBy>
  <dcterms:created xsi:type="dcterms:W3CDTF">2024-12-19T13:13:10Z</dcterms:created>
  <dcterms:modified xsi:type="dcterms:W3CDTF">2026-10-08T22:17:25Z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